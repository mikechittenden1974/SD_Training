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michael_chittenden_justit_co_uk/Documents/Desktop/harshad/Harshad/"/>
    </mc:Choice>
  </mc:AlternateContent>
  <xr:revisionPtr revIDLastSave="63" documentId="11_B44D3EB4D4EF814965317EC31E5CB7F399B3B5C9" xr6:coauthVersionLast="47" xr6:coauthVersionMax="47" xr10:uidLastSave="{D08DFDD5-ECD4-4CF3-AEC6-3080979CC19F}"/>
  <bookViews>
    <workbookView xWindow="28680" yWindow="-75" windowWidth="29040" windowHeight="15720" activeTab="1" xr2:uid="{00000000-000D-0000-FFFF-FFFF00000000}"/>
  </bookViews>
  <sheets>
    <sheet name="Sheet1" sheetId="4" r:id="rId1"/>
    <sheet name="Films" sheetId="1" r:id="rId2"/>
    <sheet name="Ratings" sheetId="2" r:id="rId3"/>
    <sheet name="Exercises" sheetId="3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F16" i="1"/>
  <c r="F15" i="1"/>
  <c r="F14" i="1"/>
  <c r="D16" i="1"/>
  <c r="D15" i="1"/>
  <c r="D14" i="1"/>
  <c r="I2" i="1"/>
  <c r="I3" i="1"/>
  <c r="I4" i="1"/>
  <c r="I5" i="1"/>
  <c r="I6" i="1"/>
  <c r="I7" i="1"/>
  <c r="I8" i="1"/>
  <c r="I9" i="1"/>
  <c r="I10" i="1"/>
  <c r="I11" i="1"/>
  <c r="I12" i="1"/>
  <c r="H2" i="1"/>
  <c r="H3" i="1"/>
  <c r="H4" i="1"/>
  <c r="H5" i="1"/>
  <c r="H6" i="1"/>
  <c r="H7" i="1"/>
  <c r="H8" i="1"/>
  <c r="H9" i="1"/>
  <c r="H10" i="1"/>
  <c r="H11" i="1"/>
  <c r="H14" i="1" l="1"/>
  <c r="B15" i="1"/>
  <c r="H15" i="1"/>
  <c r="B14" i="1"/>
  <c r="B16" i="1"/>
</calcChain>
</file>

<file path=xl/sharedStrings.xml><?xml version="1.0" encoding="utf-8"?>
<sst xmlns="http://schemas.openxmlformats.org/spreadsheetml/2006/main" count="118" uniqueCount="86">
  <si>
    <t>FilmID</t>
  </si>
  <si>
    <t>Title</t>
  </si>
  <si>
    <t>ReleaseYear</t>
  </si>
  <si>
    <t>Genre</t>
  </si>
  <si>
    <t>LeadActor</t>
  </si>
  <si>
    <t>Budget_m</t>
  </si>
  <si>
    <t>BoxOffice_m</t>
  </si>
  <si>
    <t>F001</t>
  </si>
  <si>
    <t>Iron Sentinel</t>
  </si>
  <si>
    <t>Action</t>
  </si>
  <si>
    <t>Chris Evans</t>
  </si>
  <si>
    <t>F002</t>
  </si>
  <si>
    <t>Night Vigil</t>
  </si>
  <si>
    <t>Robert Downey Jr</t>
  </si>
  <si>
    <t>F003</t>
  </si>
  <si>
    <t>Laughing Matters</t>
  </si>
  <si>
    <t>Comedy</t>
  </si>
  <si>
    <t>Melissa McCarthy</t>
  </si>
  <si>
    <t>F004</t>
  </si>
  <si>
    <t>Quantum Divide</t>
  </si>
  <si>
    <t>Sci-Fi</t>
  </si>
  <si>
    <t>Benedict Cumberbatch</t>
  </si>
  <si>
    <t>F005</t>
  </si>
  <si>
    <t>Broken Crown</t>
  </si>
  <si>
    <t>Drama</t>
  </si>
  <si>
    <t>Tom Hardy</t>
  </si>
  <si>
    <t>F006</t>
  </si>
  <si>
    <t>City of Masks</t>
  </si>
  <si>
    <t>Thriller</t>
  </si>
  <si>
    <t>Scarlett Johansson</t>
  </si>
  <si>
    <t>F007</t>
  </si>
  <si>
    <t>Galaxy Reborn</t>
  </si>
  <si>
    <t>Chris Pratt</t>
  </si>
  <si>
    <t>F008</t>
  </si>
  <si>
    <t>The Last Heist</t>
  </si>
  <si>
    <t>Crime</t>
  </si>
  <si>
    <t>Idris Elba</t>
  </si>
  <si>
    <t>F009</t>
  </si>
  <si>
    <t>Laughing Matters 2</t>
  </si>
  <si>
    <t>F010</t>
  </si>
  <si>
    <t>Iron Sentinel: Legacy</t>
  </si>
  <si>
    <t>F011</t>
  </si>
  <si>
    <t>Silent Harbour</t>
  </si>
  <si>
    <t>Emily Blunt</t>
  </si>
  <si>
    <t>ViewerRating</t>
  </si>
  <si>
    <t>Platform</t>
  </si>
  <si>
    <t>Netflix</t>
  </si>
  <si>
    <t>Disney+</t>
  </si>
  <si>
    <t>Amazon</t>
  </si>
  <si>
    <t>Section</t>
  </si>
  <si>
    <t>Question</t>
  </si>
  <si>
    <t>Data Blending</t>
  </si>
  <si>
    <t>Use a lookup to bring ViewerRating and Platform into the Films sheet using Title.</t>
  </si>
  <si>
    <t>Identify which films fail to match and explain why.</t>
  </si>
  <si>
    <t>COUNT</t>
  </si>
  <si>
    <t>How many films have a recorded BoxOffice value?</t>
  </si>
  <si>
    <t>COUNTIF</t>
  </si>
  <si>
    <t>How many Action films are there?</t>
  </si>
  <si>
    <t>COUNTIFS</t>
  </si>
  <si>
    <t>How many Action films were released after 2018?</t>
  </si>
  <si>
    <t>SUM</t>
  </si>
  <si>
    <t>What is the total BoxOffice for all films?</t>
  </si>
  <si>
    <t>SUMIF</t>
  </si>
  <si>
    <t>What is the total BoxOffice for Sci-Fi films?</t>
  </si>
  <si>
    <t>SUMIFS</t>
  </si>
  <si>
    <t>What is the total BoxOffice for Action films released after 2016?</t>
  </si>
  <si>
    <t>AVERAGE</t>
  </si>
  <si>
    <t>What is the average ViewerRating across all films?</t>
  </si>
  <si>
    <t>AVERAGEIF</t>
  </si>
  <si>
    <t>What is the average ViewerRating for Netflix films?</t>
  </si>
  <si>
    <t>AVERAGEIFS</t>
  </si>
  <si>
    <t>What is the average BoxOffice for Action films released after 2015?</t>
  </si>
  <si>
    <t>Reflection</t>
  </si>
  <si>
    <t>Which data quality issues affected your answers, and how did you resolve them?</t>
  </si>
  <si>
    <t>Viewer Rating</t>
  </si>
  <si>
    <t>Count</t>
  </si>
  <si>
    <t>Countif</t>
  </si>
  <si>
    <t>Countifs</t>
  </si>
  <si>
    <t>Sum of Box Office</t>
  </si>
  <si>
    <t>Sum of Sci-Fi</t>
  </si>
  <si>
    <t>Sum Action after 2016</t>
  </si>
  <si>
    <t>Average Rating</t>
  </si>
  <si>
    <t>Average Netflix</t>
  </si>
  <si>
    <t>Av Box for Action after 2015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</si>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</sst>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Chittenden" refreshedDate="46042.606861111111" createdVersion="8" refreshedVersion="8" minRefreshableVersion="3" recordCount="12" xr:uid="{620D9121-C0D7-4772-AA9D-4815C0EA986C}">
  <cacheSource type="worksheet">
    <worksheetSource name="Table1"/>
  </cacheSource>
  <cacheFields count="9">
    <cacheField name="FilmID" numFmtId="0">
      <sharedItems/>
    </cacheField>
    <cacheField name="Title" numFmtId="0">
      <sharedItems/>
    </cacheField>
    <cacheField name="ReleaseYear" numFmtId="0">
      <sharedItems containsSemiMixedTypes="0" containsString="0" containsNumber="1" containsInteger="1" minValue="2014" maxValue="2023" count="10">
        <n v="2016"/>
        <n v="2018"/>
        <n v="2015"/>
        <n v="2021"/>
        <n v="2014"/>
        <n v="2019"/>
        <n v="2022"/>
        <n v="2017"/>
        <n v="2020"/>
        <n v="2023"/>
      </sharedItems>
    </cacheField>
    <cacheField name="Genre" numFmtId="0">
      <sharedItems/>
    </cacheField>
    <cacheField name="LeadActor" numFmtId="0">
      <sharedItems/>
    </cacheField>
    <cacheField name="Budget_m" numFmtId="0">
      <sharedItems containsSemiMixedTypes="0" containsString="0" containsNumber="1" containsInteger="1" minValue="35" maxValue="220"/>
    </cacheField>
    <cacheField name="BoxOffice_m" numFmtId="0">
      <sharedItems containsString="0" containsBlank="1" containsNumber="1" containsInteger="1" minValue="98" maxValue="1340"/>
    </cacheField>
    <cacheField name="Viewer Rating" numFmtId="0">
      <sharedItems containsSemiMixedTypes="0" containsString="0" containsNumber="1" minValue="0" maxValue="8.8000000000000007"/>
    </cacheField>
    <cacheField name="Platfor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F001"/>
    <s v="Iron Sentinel"/>
    <x v="0"/>
    <s v="Action"/>
    <s v="Chris Evans"/>
    <n v="180"/>
    <n v="585"/>
    <n v="7.8"/>
    <s v="Netflix"/>
  </r>
  <r>
    <s v="F002"/>
    <s v="Night Vigil"/>
    <x v="1"/>
    <s v="Action"/>
    <s v="Robert Downey Jr"/>
    <n v="200"/>
    <n v="1120"/>
    <n v="8.6"/>
    <s v="Disney+"/>
  </r>
  <r>
    <s v="F003"/>
    <s v="Laughing Matters"/>
    <x v="2"/>
    <s v="Comedy"/>
    <s v="Melissa McCarthy"/>
    <n v="45"/>
    <n v="210"/>
    <n v="6.9"/>
    <s v="Amazon"/>
  </r>
  <r>
    <s v="F004"/>
    <s v="Quantum Divide"/>
    <x v="3"/>
    <s v="Sci-Fi"/>
    <s v="Benedict Cumberbatch"/>
    <n v="165"/>
    <n v="950"/>
    <n v="8.4"/>
    <s v="Disney+"/>
  </r>
  <r>
    <s v="F005"/>
    <s v="Broken Crown"/>
    <x v="4"/>
    <s v="Drama"/>
    <s v="Tom Hardy"/>
    <n v="35"/>
    <n v="98"/>
    <n v="7.1"/>
    <s v="Netflix"/>
  </r>
  <r>
    <s v="F006"/>
    <s v="City of Masks"/>
    <x v="5"/>
    <s v="Thriller"/>
    <s v="Scarlett Johansson"/>
    <n v="110"/>
    <n v="410"/>
    <n v="7.9"/>
    <s v="Netflix"/>
  </r>
  <r>
    <s v="F007"/>
    <s v="Galaxy Reborn"/>
    <x v="6"/>
    <s v="Sci-Fi"/>
    <s v="Chris Pratt"/>
    <n v="220"/>
    <n v="1340"/>
    <n v="8.8000000000000007"/>
    <s v="Disney+"/>
  </r>
  <r>
    <s v="F008"/>
    <s v="The Last Heist"/>
    <x v="7"/>
    <s v="Crime"/>
    <s v="Idris Elba"/>
    <n v="70"/>
    <n v="305"/>
    <n v="7.3"/>
    <s v="Amazon"/>
  </r>
  <r>
    <s v="F009"/>
    <s v="Laughing Matters 2"/>
    <x v="8"/>
    <s v="Comedy"/>
    <s v="Melissa McCarthy"/>
    <n v="60"/>
    <n v="320"/>
    <n v="7.4"/>
    <s v="Amazon"/>
  </r>
  <r>
    <s v="F010"/>
    <s v="Iron Sentinel: Legacy"/>
    <x v="9"/>
    <s v="Action"/>
    <s v="Chris Evans"/>
    <n v="210"/>
    <n v="880"/>
    <n v="8.1"/>
    <s v="Netflix"/>
  </r>
  <r>
    <s v="F011"/>
    <s v="Silent Harbour"/>
    <x v="0"/>
    <s v="Drama"/>
    <s v="Emily Blunt"/>
    <n v="40"/>
    <m/>
    <n v="0"/>
    <s v="Netflix"/>
  </r>
  <r>
    <s v="F012"/>
    <s v="Quantum Divide"/>
    <x v="3"/>
    <s v="Sci-Fi"/>
    <s v="Benedict Cumberbatch"/>
    <n v="165"/>
    <n v="950"/>
    <n v="8.4"/>
    <s v="Disney+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FC1F7-D59E-4C6F-A79E-F24DE6CAE00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4" firstHeaderRow="1" firstDataRow="1" firstDataCol="1"/>
  <pivotFields count="9">
    <pivotField showAll="0"/>
    <pivotField showAll="0"/>
    <pivotField axis="axisRow" showAll="0">
      <items count="11">
        <item x="4"/>
        <item x="2"/>
        <item x="0"/>
        <item x="7"/>
        <item x="1"/>
        <item x="5"/>
        <item x="8"/>
        <item x="3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F5D05-EA4F-4630-B0D7-2E8337E82919}" name="Table1" displayName="Table1" ref="A1:I12" totalsRowShown="0">
  <autoFilter ref="A1:I12" xr:uid="{43EF5D05-EA4F-4630-B0D7-2E8337E82919}"/>
  <tableColumns count="9">
    <tableColumn id="1" xr3:uid="{0BDDCB38-882A-434D-8CA0-B37CC8A262D7}" name="FilmID"/>
    <tableColumn id="2" xr3:uid="{EF5761B1-E8FF-429C-A96C-995C2C381D48}" name="Title"/>
    <tableColumn id="3" xr3:uid="{321424CC-048D-4C26-B38E-40B3631C56F6}" name="ReleaseYear"/>
    <tableColumn id="4" xr3:uid="{47F6FF79-949F-48D4-94F7-705399A5F2D7}" name="Genre"/>
    <tableColumn id="5" xr3:uid="{55BD0468-ABC7-4CBA-9779-1FD6ADF39BDE}" name="LeadActor"/>
    <tableColumn id="6" xr3:uid="{A5DE6C8D-3C96-4885-9D2F-EDFC36BEC4B6}" name="Budget_m"/>
    <tableColumn id="7" xr3:uid="{83DABEF1-C44B-4CC3-A279-7C5BAC2812AA}" name="BoxOffice_m"/>
    <tableColumn id="8" xr3:uid="{589C2923-9E71-4A98-9238-E86389C9A2FF}" name="Viewer Rating" dataDxfId="1">
      <calculatedColumnFormula>_xlfn.XLOOKUP(Table1[[#This Row],[Title]],Ratings!A:A,Ratings!B:B,"Not found")</calculatedColumnFormula>
    </tableColumn>
    <tableColumn id="10" xr3:uid="{1549796D-01FE-4B9A-AEEB-397695B9EF39}" name="Platform" dataDxfId="0">
      <calculatedColumnFormula>_xlfn.XLOOKUP(Table1[[#This Row],[Title]],Ratings!A:A,Ratings!C:C,"Not found")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222AD0-87EA-4047-B04A-A385F943D1E5}" name="Table2" displayName="Table2" ref="A1:C12" totalsRowShown="0">
  <autoFilter ref="A1:C12" xr:uid="{81222AD0-87EA-4047-B04A-A385F943D1E5}"/>
  <tableColumns count="3">
    <tableColumn id="1" xr3:uid="{B5556951-E99F-4FE7-A0FA-7707BDA6929F}" name="Title"/>
    <tableColumn id="2" xr3:uid="{33202BDF-389B-46D3-A8CB-A8F54D0AD720}" name="ViewerRating"/>
    <tableColumn id="3" xr3:uid="{0F996074-8C17-4C59-A456-268A029B7EB8}" name="Platfo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B9CE-6872-420E-8713-24286BCBE0A4}">
  <dimension ref="A3:A14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</cols>
  <sheetData>
    <row r="3" spans="1:1" x14ac:dyDescent="0.25">
      <c r="A3" s="1" t="s">
        <v>84</v>
      </c>
    </row>
    <row r="4" spans="1:1" x14ac:dyDescent="0.25">
      <c r="A4" s="2">
        <v>2014</v>
      </c>
    </row>
    <row r="5" spans="1:1" x14ac:dyDescent="0.25">
      <c r="A5" s="2">
        <v>2015</v>
      </c>
    </row>
    <row r="6" spans="1:1" x14ac:dyDescent="0.25">
      <c r="A6" s="2">
        <v>2016</v>
      </c>
    </row>
    <row r="7" spans="1:1" x14ac:dyDescent="0.25">
      <c r="A7" s="2">
        <v>2017</v>
      </c>
    </row>
    <row r="8" spans="1:1" x14ac:dyDescent="0.25">
      <c r="A8" s="2">
        <v>2018</v>
      </c>
    </row>
    <row r="9" spans="1:1" x14ac:dyDescent="0.25">
      <c r="A9" s="2">
        <v>2019</v>
      </c>
    </row>
    <row r="10" spans="1:1" x14ac:dyDescent="0.25">
      <c r="A10" s="2">
        <v>2020</v>
      </c>
    </row>
    <row r="11" spans="1:1" x14ac:dyDescent="0.25">
      <c r="A11" s="2">
        <v>2021</v>
      </c>
    </row>
    <row r="12" spans="1:1" x14ac:dyDescent="0.25">
      <c r="A12" s="2">
        <v>2022</v>
      </c>
    </row>
    <row r="13" spans="1:1" x14ac:dyDescent="0.25">
      <c r="A13" s="2">
        <v>2023</v>
      </c>
    </row>
    <row r="14" spans="1:1" x14ac:dyDescent="0.25">
      <c r="A14" s="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90" zoomScaleNormal="190" workbookViewId="0">
      <selection activeCell="A8" sqref="A8:XFD8"/>
    </sheetView>
  </sheetViews>
  <sheetFormatPr defaultRowHeight="15" x14ac:dyDescent="0.25"/>
  <cols>
    <col min="2" max="2" width="19.5703125" bestFit="1" customWidth="1"/>
    <col min="3" max="3" width="14.28515625" bestFit="1" customWidth="1"/>
    <col min="5" max="5" width="21.5703125" bestFit="1" customWidth="1"/>
    <col min="6" max="6" width="12.28515625" bestFit="1" customWidth="1"/>
    <col min="7" max="7" width="14.7109375" bestFit="1" customWidth="1"/>
    <col min="8" max="8" width="15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74</v>
      </c>
      <c r="I1" t="s">
        <v>45</v>
      </c>
    </row>
    <row r="2" spans="1:9" x14ac:dyDescent="0.25">
      <c r="A2" t="s">
        <v>7</v>
      </c>
      <c r="B2" t="s">
        <v>8</v>
      </c>
      <c r="C2">
        <v>2016</v>
      </c>
      <c r="D2" t="s">
        <v>9</v>
      </c>
      <c r="E2" t="s">
        <v>10</v>
      </c>
      <c r="F2">
        <v>180</v>
      </c>
      <c r="G2">
        <v>585</v>
      </c>
      <c r="H2">
        <f>_xlfn.XLOOKUP(Table1[[#This Row],[Title]],Ratings!A:A,Ratings!B:B,"Not found")</f>
        <v>7.8</v>
      </c>
      <c r="I2" t="str">
        <f>_xlfn.XLOOKUP(Table1[[#This Row],[Title]],Ratings!A:A,Ratings!C:C,"Not found")</f>
        <v>Netflix</v>
      </c>
    </row>
    <row r="3" spans="1:9" x14ac:dyDescent="0.25">
      <c r="A3" t="s">
        <v>11</v>
      </c>
      <c r="B3" t="s">
        <v>12</v>
      </c>
      <c r="C3">
        <v>2018</v>
      </c>
      <c r="D3" t="s">
        <v>9</v>
      </c>
      <c r="E3" t="s">
        <v>13</v>
      </c>
      <c r="F3">
        <v>200</v>
      </c>
      <c r="G3">
        <v>1120</v>
      </c>
      <c r="H3">
        <f>_xlfn.XLOOKUP(Table1[[#This Row],[Title]],Ratings!A:A,Ratings!B:B,"Not found")</f>
        <v>8.6</v>
      </c>
      <c r="I3" t="str">
        <f>_xlfn.XLOOKUP(Table1[[#This Row],[Title]],Ratings!A:A,Ratings!C:C,"Not found")</f>
        <v>Disney+</v>
      </c>
    </row>
    <row r="4" spans="1:9" x14ac:dyDescent="0.25">
      <c r="A4" t="s">
        <v>14</v>
      </c>
      <c r="B4" t="s">
        <v>15</v>
      </c>
      <c r="C4">
        <v>2015</v>
      </c>
      <c r="D4" t="s">
        <v>16</v>
      </c>
      <c r="E4" t="s">
        <v>17</v>
      </c>
      <c r="F4">
        <v>45</v>
      </c>
      <c r="G4">
        <v>210</v>
      </c>
      <c r="H4">
        <f>_xlfn.XLOOKUP(Table1[[#This Row],[Title]],Ratings!A:A,Ratings!B:B,"Not found")</f>
        <v>6.9</v>
      </c>
      <c r="I4" t="str">
        <f>_xlfn.XLOOKUP(Table1[[#This Row],[Title]],Ratings!A:A,Ratings!C:C,"Not found")</f>
        <v>Amazon</v>
      </c>
    </row>
    <row r="5" spans="1:9" x14ac:dyDescent="0.25">
      <c r="A5" t="s">
        <v>18</v>
      </c>
      <c r="B5" t="s">
        <v>19</v>
      </c>
      <c r="C5">
        <v>2021</v>
      </c>
      <c r="D5" t="s">
        <v>20</v>
      </c>
      <c r="E5" t="s">
        <v>21</v>
      </c>
      <c r="F5">
        <v>165</v>
      </c>
      <c r="G5">
        <v>950</v>
      </c>
      <c r="H5">
        <f>_xlfn.XLOOKUP(Table1[[#This Row],[Title]],Ratings!A:A,Ratings!B:B,"Not found")</f>
        <v>8.4</v>
      </c>
      <c r="I5" t="str">
        <f>_xlfn.XLOOKUP(Table1[[#This Row],[Title]],Ratings!A:A,Ratings!C:C,"Not found")</f>
        <v>Disney+</v>
      </c>
    </row>
    <row r="6" spans="1:9" x14ac:dyDescent="0.25">
      <c r="A6" t="s">
        <v>22</v>
      </c>
      <c r="B6" t="s">
        <v>23</v>
      </c>
      <c r="C6">
        <v>2014</v>
      </c>
      <c r="D6" t="s">
        <v>24</v>
      </c>
      <c r="E6" t="s">
        <v>25</v>
      </c>
      <c r="F6">
        <v>35</v>
      </c>
      <c r="G6">
        <v>98</v>
      </c>
      <c r="H6">
        <f>_xlfn.XLOOKUP(Table1[[#This Row],[Title]],Ratings!A:A,Ratings!B:B,"Not found")</f>
        <v>7.1</v>
      </c>
      <c r="I6" t="str">
        <f>_xlfn.XLOOKUP(Table1[[#This Row],[Title]],Ratings!A:A,Ratings!C:C,"Not found")</f>
        <v>Netflix</v>
      </c>
    </row>
    <row r="7" spans="1:9" x14ac:dyDescent="0.25">
      <c r="A7" t="s">
        <v>26</v>
      </c>
      <c r="B7" t="s">
        <v>27</v>
      </c>
      <c r="C7">
        <v>2019</v>
      </c>
      <c r="D7" t="s">
        <v>28</v>
      </c>
      <c r="E7" t="s">
        <v>29</v>
      </c>
      <c r="F7">
        <v>110</v>
      </c>
      <c r="G7">
        <v>410</v>
      </c>
      <c r="H7">
        <f>_xlfn.XLOOKUP(Table1[[#This Row],[Title]],Ratings!A:A,Ratings!B:B,"Not found")</f>
        <v>7.9</v>
      </c>
      <c r="I7" t="str">
        <f>_xlfn.XLOOKUP(Table1[[#This Row],[Title]],Ratings!A:A,Ratings!C:C,"Not found")</f>
        <v>Netflix</v>
      </c>
    </row>
    <row r="8" spans="1:9" x14ac:dyDescent="0.25">
      <c r="A8" t="s">
        <v>30</v>
      </c>
      <c r="B8" t="s">
        <v>31</v>
      </c>
      <c r="C8">
        <v>2022</v>
      </c>
      <c r="D8" t="s">
        <v>20</v>
      </c>
      <c r="E8" t="s">
        <v>32</v>
      </c>
      <c r="F8">
        <v>220</v>
      </c>
      <c r="G8">
        <v>1340</v>
      </c>
      <c r="H8">
        <f>_xlfn.XLOOKUP(Table1[[#This Row],[Title]],Ratings!A:A,Ratings!B:B,"Not found")</f>
        <v>8.8000000000000007</v>
      </c>
      <c r="I8" t="str">
        <f>_xlfn.XLOOKUP(Table1[[#This Row],[Title]],Ratings!A:A,Ratings!C:C,"Not found")</f>
        <v>Disney+</v>
      </c>
    </row>
    <row r="9" spans="1:9" x14ac:dyDescent="0.25">
      <c r="A9" t="s">
        <v>33</v>
      </c>
      <c r="B9" t="s">
        <v>34</v>
      </c>
      <c r="C9">
        <v>2017</v>
      </c>
      <c r="D9" t="s">
        <v>35</v>
      </c>
      <c r="E9" t="s">
        <v>36</v>
      </c>
      <c r="F9">
        <v>70</v>
      </c>
      <c r="G9">
        <v>305</v>
      </c>
      <c r="H9">
        <f>_xlfn.XLOOKUP(Table1[[#This Row],[Title]],Ratings!A:A,Ratings!B:B,"Not found")</f>
        <v>7.3</v>
      </c>
      <c r="I9" t="str">
        <f>_xlfn.XLOOKUP(Table1[[#This Row],[Title]],Ratings!A:A,Ratings!C:C,"Not found")</f>
        <v>Amazon</v>
      </c>
    </row>
    <row r="10" spans="1:9" x14ac:dyDescent="0.25">
      <c r="A10" t="s">
        <v>37</v>
      </c>
      <c r="B10" t="s">
        <v>38</v>
      </c>
      <c r="C10">
        <v>2020</v>
      </c>
      <c r="D10" t="s">
        <v>16</v>
      </c>
      <c r="E10" t="s">
        <v>17</v>
      </c>
      <c r="F10">
        <v>60</v>
      </c>
      <c r="G10">
        <v>320</v>
      </c>
      <c r="H10">
        <f>_xlfn.XLOOKUP(Table1[[#This Row],[Title]],Ratings!A:A,Ratings!B:B,"Not found")</f>
        <v>7.4</v>
      </c>
      <c r="I10" t="str">
        <f>_xlfn.XLOOKUP(Table1[[#This Row],[Title]],Ratings!A:A,Ratings!C:C,"Not found")</f>
        <v>Amazon</v>
      </c>
    </row>
    <row r="11" spans="1:9" x14ac:dyDescent="0.25">
      <c r="A11" t="s">
        <v>39</v>
      </c>
      <c r="B11" t="s">
        <v>40</v>
      </c>
      <c r="C11">
        <v>2023</v>
      </c>
      <c r="D11" t="s">
        <v>9</v>
      </c>
      <c r="E11" t="s">
        <v>10</v>
      </c>
      <c r="F11">
        <v>210</v>
      </c>
      <c r="G11">
        <v>880</v>
      </c>
      <c r="H11">
        <f>_xlfn.XLOOKUP(Table1[[#This Row],[Title]],Ratings!A:A,Ratings!B:B,"Not found")</f>
        <v>8.1</v>
      </c>
      <c r="I11" t="str">
        <f>_xlfn.XLOOKUP(Table1[[#This Row],[Title]],Ratings!A:A,Ratings!C:C,"Not found")</f>
        <v>Netflix</v>
      </c>
    </row>
    <row r="12" spans="1:9" x14ac:dyDescent="0.25">
      <c r="A12" t="s">
        <v>41</v>
      </c>
      <c r="B12" t="s">
        <v>42</v>
      </c>
      <c r="C12">
        <v>2016</v>
      </c>
      <c r="D12" t="s">
        <v>24</v>
      </c>
      <c r="E12" t="s">
        <v>43</v>
      </c>
      <c r="F12">
        <v>40</v>
      </c>
      <c r="G12">
        <v>593.25</v>
      </c>
      <c r="H12">
        <v>7.6</v>
      </c>
      <c r="I12" t="str">
        <f>_xlfn.XLOOKUP(Table1[[#This Row],[Title]],Ratings!A:A,Ratings!C:C,"Not found")</f>
        <v>Netflix</v>
      </c>
    </row>
    <row r="14" spans="1:9" x14ac:dyDescent="0.25">
      <c r="A14" t="s">
        <v>46</v>
      </c>
      <c r="B14">
        <f>AVERAGEIF(Table1[Platform],A14,Table1[BoxOffice_m])</f>
        <v>513.25</v>
      </c>
      <c r="C14" t="s">
        <v>75</v>
      </c>
      <c r="D14">
        <f>COUNTA(Table1[BoxOffice_m])</f>
        <v>11</v>
      </c>
      <c r="E14" t="s">
        <v>78</v>
      </c>
      <c r="F14">
        <f>SUM(Table1[BoxOffice_m])</f>
        <v>6811.25</v>
      </c>
      <c r="G14" t="s">
        <v>81</v>
      </c>
      <c r="H14">
        <f>AVERAGE(Table1[Viewer Rating])</f>
        <v>7.8090909090909086</v>
      </c>
    </row>
    <row r="15" spans="1:9" x14ac:dyDescent="0.25">
      <c r="A15" t="s">
        <v>47</v>
      </c>
      <c r="B15">
        <f>AVERAGEIF(Table1[Platform],A15,Table1[BoxOffice_m])</f>
        <v>1136.6666666666667</v>
      </c>
      <c r="C15" t="s">
        <v>76</v>
      </c>
      <c r="D15">
        <f>COUNTIF(Table1[Genre],"Action")</f>
        <v>3</v>
      </c>
      <c r="E15" t="s">
        <v>79</v>
      </c>
      <c r="F15">
        <f>SUMIF(Table1[Genre],"Sci-Fi",Table1[BoxOffice_m])</f>
        <v>2290</v>
      </c>
      <c r="G15" t="s">
        <v>82</v>
      </c>
      <c r="H15">
        <f>AVERAGEIF(Table1[Platform],"Amazon",Table1[Viewer Rating])</f>
        <v>7.2</v>
      </c>
    </row>
    <row r="16" spans="1:9" x14ac:dyDescent="0.25">
      <c r="A16" t="s">
        <v>48</v>
      </c>
      <c r="B16">
        <f>AVERAGEIF(Table1[Platform],A16,Table1[BoxOffice_m])</f>
        <v>278.33333333333331</v>
      </c>
      <c r="C16" t="s">
        <v>77</v>
      </c>
      <c r="D16">
        <f>COUNTIFS(Table1[ReleaseYear],"&gt;2018",Table1[Genre],"Action")</f>
        <v>1</v>
      </c>
      <c r="E16" t="s">
        <v>80</v>
      </c>
      <c r="F16">
        <f>SUMIFS(Table1[BoxOffice_m],Table1[ReleaseYear],"&gt;2016",Table1[Genre],"Action")</f>
        <v>2000</v>
      </c>
      <c r="G16" t="s">
        <v>83</v>
      </c>
      <c r="I16">
        <f>AVERAGEIFS(Table1[BoxOffice_m],Table1[Genre],"Action",Table1[ReleaseYear],"&gt;2015")</f>
        <v>861.66666666666663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205" zoomScaleNormal="205" workbookViewId="0">
      <selection activeCell="A11" sqref="A11"/>
    </sheetView>
  </sheetViews>
  <sheetFormatPr defaultRowHeight="15" x14ac:dyDescent="0.25"/>
  <cols>
    <col min="1" max="1" width="19" bestFit="1" customWidth="1"/>
    <col min="2" max="2" width="15.42578125" bestFit="1" customWidth="1"/>
    <col min="3" max="3" width="11" bestFit="1" customWidth="1"/>
  </cols>
  <sheetData>
    <row r="1" spans="1:3" x14ac:dyDescent="0.25">
      <c r="A1" t="s">
        <v>1</v>
      </c>
      <c r="B1" t="s">
        <v>44</v>
      </c>
      <c r="C1" t="s">
        <v>45</v>
      </c>
    </row>
    <row r="2" spans="1:3" x14ac:dyDescent="0.25">
      <c r="A2" t="s">
        <v>8</v>
      </c>
      <c r="B2">
        <v>7.8</v>
      </c>
      <c r="C2" t="s">
        <v>46</v>
      </c>
    </row>
    <row r="3" spans="1:3" x14ac:dyDescent="0.25">
      <c r="A3" t="s">
        <v>12</v>
      </c>
      <c r="B3">
        <v>8.6</v>
      </c>
      <c r="C3" t="s">
        <v>47</v>
      </c>
    </row>
    <row r="4" spans="1:3" x14ac:dyDescent="0.25">
      <c r="A4" t="s">
        <v>15</v>
      </c>
      <c r="B4">
        <v>6.9</v>
      </c>
      <c r="C4" t="s">
        <v>48</v>
      </c>
    </row>
    <row r="5" spans="1:3" x14ac:dyDescent="0.25">
      <c r="A5" t="s">
        <v>19</v>
      </c>
      <c r="B5">
        <v>8.4</v>
      </c>
      <c r="C5" t="s">
        <v>47</v>
      </c>
    </row>
    <row r="6" spans="1:3" x14ac:dyDescent="0.25">
      <c r="A6" t="s">
        <v>23</v>
      </c>
      <c r="B6">
        <v>7.1</v>
      </c>
      <c r="C6" t="s">
        <v>46</v>
      </c>
    </row>
    <row r="7" spans="1:3" x14ac:dyDescent="0.25">
      <c r="A7" t="s">
        <v>27</v>
      </c>
      <c r="B7">
        <v>7.9</v>
      </c>
      <c r="C7" t="s">
        <v>46</v>
      </c>
    </row>
    <row r="8" spans="1:3" x14ac:dyDescent="0.25">
      <c r="A8" t="s">
        <v>31</v>
      </c>
      <c r="B8">
        <v>8.8000000000000007</v>
      </c>
      <c r="C8" t="s">
        <v>47</v>
      </c>
    </row>
    <row r="9" spans="1:3" x14ac:dyDescent="0.25">
      <c r="A9" t="s">
        <v>34</v>
      </c>
      <c r="B9">
        <v>7.3</v>
      </c>
      <c r="C9" t="s">
        <v>48</v>
      </c>
    </row>
    <row r="10" spans="1:3" x14ac:dyDescent="0.25">
      <c r="A10" t="s">
        <v>38</v>
      </c>
      <c r="B10">
        <v>7.4</v>
      </c>
      <c r="C10" t="s">
        <v>48</v>
      </c>
    </row>
    <row r="11" spans="1:3" x14ac:dyDescent="0.25">
      <c r="A11" t="s">
        <v>40</v>
      </c>
      <c r="B11">
        <v>8.1</v>
      </c>
      <c r="C11" t="s">
        <v>46</v>
      </c>
    </row>
    <row r="12" spans="1:3" x14ac:dyDescent="0.25">
      <c r="A12" t="s">
        <v>42</v>
      </c>
      <c r="C12" t="s">
        <v>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="205" zoomScaleNormal="205" workbookViewId="0">
      <selection activeCell="B12" sqref="B12"/>
    </sheetView>
  </sheetViews>
  <sheetFormatPr defaultRowHeight="15" x14ac:dyDescent="0.25"/>
  <cols>
    <col min="1" max="1" width="13.42578125" bestFit="1" customWidth="1"/>
    <col min="2" max="2" width="74.140625" bestFit="1" customWidth="1"/>
  </cols>
  <sheetData>
    <row r="1" spans="1:2" x14ac:dyDescent="0.25">
      <c r="A1" t="s">
        <v>49</v>
      </c>
      <c r="B1" t="s">
        <v>50</v>
      </c>
    </row>
    <row r="2" spans="1:2" x14ac:dyDescent="0.25">
      <c r="A2" t="s">
        <v>51</v>
      </c>
      <c r="B2" t="s">
        <v>52</v>
      </c>
    </row>
    <row r="3" spans="1:2" x14ac:dyDescent="0.25">
      <c r="A3" t="s">
        <v>51</v>
      </c>
      <c r="B3" t="s">
        <v>53</v>
      </c>
    </row>
    <row r="4" spans="1:2" x14ac:dyDescent="0.25">
      <c r="A4" t="s">
        <v>54</v>
      </c>
      <c r="B4" t="s">
        <v>55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 t="s">
        <v>59</v>
      </c>
    </row>
    <row r="7" spans="1:2" x14ac:dyDescent="0.25">
      <c r="A7" t="s">
        <v>60</v>
      </c>
      <c r="B7" t="s">
        <v>61</v>
      </c>
    </row>
    <row r="8" spans="1:2" x14ac:dyDescent="0.25">
      <c r="A8" t="s">
        <v>62</v>
      </c>
      <c r="B8" t="s">
        <v>63</v>
      </c>
    </row>
    <row r="9" spans="1:2" x14ac:dyDescent="0.25">
      <c r="A9" t="s">
        <v>64</v>
      </c>
      <c r="B9" t="s">
        <v>65</v>
      </c>
    </row>
    <row r="10" spans="1:2" x14ac:dyDescent="0.25">
      <c r="A10" t="s">
        <v>66</v>
      </c>
      <c r="B10" t="s">
        <v>67</v>
      </c>
    </row>
    <row r="11" spans="1:2" x14ac:dyDescent="0.25">
      <c r="A11" t="s">
        <v>68</v>
      </c>
      <c r="B11" t="s">
        <v>69</v>
      </c>
    </row>
    <row r="12" spans="1:2" x14ac:dyDescent="0.25">
      <c r="A12" t="s">
        <v>70</v>
      </c>
      <c r="B12" t="s">
        <v>71</v>
      </c>
    </row>
    <row r="13" spans="1:2" x14ac:dyDescent="0.25">
      <c r="A13" t="s">
        <v>72</v>
      </c>
      <c r="B1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Films</vt:lpstr>
      <vt:lpstr>Ratings</vt:lpstr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Chittenden</cp:lastModifiedBy>
  <dcterms:created xsi:type="dcterms:W3CDTF">2026-01-20T12:56:57Z</dcterms:created>
  <dcterms:modified xsi:type="dcterms:W3CDTF">2026-01-20T14:38:50Z</dcterms:modified>
</cp:coreProperties>
</file>